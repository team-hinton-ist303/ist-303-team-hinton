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da" sheetId="1" state="visible" r:id="rId3"/>
    <sheet name="Team Status" sheetId="2" state="visible" r:id="rId4"/>
    <sheet name="Tasks" sheetId="3" state="visible" r:id="rId5"/>
    <sheet name="Action 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<sst xmlns="http://schemas.openxmlformats.org/spreadsheetml/2006/main" count="201" uniqueCount="122">
  <si>
    <t xml:space="preserve">Noted! stand-up, Wed Oct 14, 2026 (Sprint 1, day 9 of 16)</t>
  </si>
  <si>
    <t xml:space="preserve">Yellow cells are for notes during the meeting.</t>
  </si>
  <si>
    <t xml:space="preserve">#</t>
  </si>
  <si>
    <t xml:space="preserve">Topic</t>
  </si>
  <si>
    <t xml:space="preserve">Minutes</t>
  </si>
  <si>
    <t xml:space="preserve">Points to cover</t>
  </si>
  <si>
    <t xml:space="preserve">Notes / decision</t>
  </si>
  <si>
    <t xml:space="preserve">Wins</t>
  </si>
  <si>
    <t xml:space="preserve">Foundation (E-01) done: app skeleton, models, test setup, base layout, requirements.txt all on main.
music21 half of the rendering spike done (NTT-45).
Sprint 1: 20 of 65 hours done.</t>
  </si>
  <si>
    <t xml:space="preserve">Round robin</t>
  </si>
  <si>
    <t xml:space="preserve">Each person, 1-2 min: what I did, what's next, what's blocking me. See the Team Status tab.</t>
  </si>
  <si>
    <t xml:space="preserve">Blockers</t>
  </si>
  <si>
    <t xml:space="preserve">Daniel's Flask-Login (NTT-30): blocks login tests, logged-in fixture, 'logs you in' register test, every page needing a user. Get an ETA.
Beijia's register route (NTT-27/28): Ryan's 13 tests wait on it. Route requirements are in the comment on NTT-27.</t>
  </si>
  <si>
    <t xml:space="preserve">Spike decision</t>
  </si>
  <si>
    <t xml:space="preserve">music21 results: LilyPond failed to install, MuseScore 9 s per render, Verovio 5 s install / 0.7 s render.
NTT-46 (hand-drawn SVG) now assigned to Varuzhan; confirm with Beijia.
Decide by Friday so NTT-43 can build on music21 + Verovio.</t>
  </si>
  <si>
    <t xml:space="preserve">Sprint risk</t>
  </si>
  <si>
    <t xml:space="preserve">45 hours left, 7 days to go. Sprint ends Oct 21; Part B due Oct 22.
US-04 (18 hrs) not started; depends on US-03, which depends on login.
Keep everything, or finish US-01 to US-03 and move part of US-04 to Sprint 2? Check-in Friday Oct 16: if login and register route are merged, keep everything; if not, move US-04 UI and converter tasks to Sprint 2.</t>
  </si>
  <si>
    <t xml:space="preserve">Housekeeping</t>
  </si>
  <si>
    <t xml:space="preserve">Everyone: pip install -r requirements.txt after pulling.
NTT-29 is marked Done but its tests can't run until the register route exists: reopen, or close once they pass.
Reviewers: review within a day.</t>
  </si>
  <si>
    <t xml:space="preserve">Total</t>
  </si>
  <si>
    <t xml:space="preserve">Person</t>
  </si>
  <si>
    <t xml:space="preserve">Hours left</t>
  </si>
  <si>
    <t xml:space="preserve">Open work</t>
  </si>
  <si>
    <t xml:space="preserve">Waiting on</t>
  </si>
  <si>
    <t xml:space="preserve">What I did</t>
  </si>
  <si>
    <t xml:space="preserve">What's next</t>
  </si>
  <si>
    <t xml:space="preserve">Beijia</t>
  </si>
  <si>
    <t xml:space="preserve">Register: form in review, route and hashing in progress (NTT-26 to 28). Then login tests (NTT-34), music21 converter (NTT-43, 44)</t>
  </si>
  <si>
    <t xml:space="preserve">Flask-Login (NTT-30) for login tests</t>
  </si>
  <si>
    <t xml:space="preserve">Daniel</t>
  </si>
  <si>
    <t xml:space="preserve">Not started: login (NTT-30 to 33), new composition (NTT-35, 36)</t>
  </si>
  <si>
    <t xml:space="preserve">Varuzhan</t>
  </si>
  <si>
    <t xml:space="preserve">Spike: SVG prototype and write-up (NTT-46, 47), editor page (NTT-37), note-entry palette (NTT-40)</t>
  </si>
  <si>
    <t xml:space="preserve">Base layout merged; NTT-37 needs Daniel's create route</t>
  </si>
  <si>
    <t xml:space="preserve">Yalei</t>
  </si>
  <si>
    <t xml:space="preserve">Note storage and add-note route (NTT-39, 41), logged-in fixture (NTT-111)</t>
  </si>
  <si>
    <t xml:space="preserve">Login (NTT-30/31) for NTT-111</t>
  </si>
  <si>
    <t xml:space="preserve">Ryan</t>
  </si>
  <si>
    <t xml:space="preserve">New-composition tests (NTT-38), range validation (NTT-42)</t>
  </si>
  <si>
    <t xml:space="preserve">Create route (NTT-36) for NTT-38</t>
  </si>
  <si>
    <t xml:space="preserve">Key</t>
  </si>
  <si>
    <t xml:space="preserve">Story</t>
  </si>
  <si>
    <t xml:space="preserve">Task</t>
  </si>
  <si>
    <t xml:space="preserve">Owner</t>
  </si>
  <si>
    <t xml:space="preserve">Hours</t>
  </si>
  <si>
    <t xml:space="preserve">Status</t>
  </si>
  <si>
    <t xml:space="preserve">NTT-2</t>
  </si>
  <si>
    <t xml:space="preserve">E-01</t>
  </si>
  <si>
    <t xml:space="preserve">Set up GitHub repo, Jira board, README</t>
  </si>
  <si>
    <t xml:space="preserve">Done</t>
  </si>
  <si>
    <t xml:space="preserve">NTT-22</t>
  </si>
  <si>
    <t xml:space="preserve">Flask app factory, config, blueprints</t>
  </si>
  <si>
    <t xml:space="preserve">NTT-23</t>
  </si>
  <si>
    <t xml:space="preserve">SQLAlchemy models and init-db</t>
  </si>
  <si>
    <t xml:space="preserve">NTT-24</t>
  </si>
  <si>
    <t xml:space="preserve">pytest setup and fixtures</t>
  </si>
  <si>
    <t xml:space="preserve">NTT-25</t>
  </si>
  <si>
    <t xml:space="preserve">Base Jinja layout: nav, flash messages, CSS</t>
  </si>
  <si>
    <t xml:space="preserve">NTT-26</t>
  </si>
  <si>
    <t xml:space="preserve">US-01</t>
  </si>
  <si>
    <t xml:space="preserve">Registration form template</t>
  </si>
  <si>
    <t xml:space="preserve">In Review</t>
  </si>
  <si>
    <t xml:space="preserve">NTT-27</t>
  </si>
  <si>
    <t xml:space="preserve">Register route with validation</t>
  </si>
  <si>
    <t xml:space="preserve">In Progress</t>
  </si>
  <si>
    <t xml:space="preserve">NTT-28</t>
  </si>
  <si>
    <t xml:space="preserve">Hash passwords and save the user</t>
  </si>
  <si>
    <t xml:space="preserve">NTT-29</t>
  </si>
  <si>
    <t xml:space="preserve">Register tests</t>
  </si>
  <si>
    <t xml:space="preserve">NTT-30</t>
  </si>
  <si>
    <t xml:space="preserve">US-02</t>
  </si>
  <si>
    <t xml:space="preserve">Flask-Login and user loader</t>
  </si>
  <si>
    <t xml:space="preserve">To Do</t>
  </si>
  <si>
    <t xml:space="preserve">NTT-31</t>
  </si>
  <si>
    <t xml:space="preserve">Login form and route</t>
  </si>
  <si>
    <t xml:space="preserve">NTT-32</t>
  </si>
  <si>
    <t xml:space="preserve">Logout route, nav changes when logged in</t>
  </si>
  <si>
    <t xml:space="preserve">NTT-33</t>
  </si>
  <si>
    <t xml:space="preserve">@login_required on composition/library routes</t>
  </si>
  <si>
    <t xml:space="preserve">NTT-34</t>
  </si>
  <si>
    <t xml:space="preserve">Login tests</t>
  </si>
  <si>
    <t xml:space="preserve">NTT-111</t>
  </si>
  <si>
    <t xml:space="preserve">logged_in_client test fixture</t>
  </si>
  <si>
    <t xml:space="preserve">NTT-35</t>
  </si>
  <si>
    <t xml:space="preserve">US-03</t>
  </si>
  <si>
    <t xml:space="preserve">New-composition form</t>
  </si>
  <si>
    <t xml:space="preserve">NTT-36</t>
  </si>
  <si>
    <t xml:space="preserve">Create route, owner = current user</t>
  </si>
  <si>
    <t xml:space="preserve">NTT-37</t>
  </si>
  <si>
    <t xml:space="preserve">Composition editor page shell</t>
  </si>
  <si>
    <t xml:space="preserve">NTT-38</t>
  </si>
  <si>
    <t xml:space="preserve">New-composition tests</t>
  </si>
  <si>
    <t xml:space="preserve">NTT-39</t>
  </si>
  <si>
    <t xml:space="preserve">US-04</t>
  </si>
  <si>
    <t xml:space="preserve">Note ordering and storage logic</t>
  </si>
  <si>
    <t xml:space="preserve">NTT-40</t>
  </si>
  <si>
    <t xml:space="preserve">Note-entry palette UI</t>
  </si>
  <si>
    <t xml:space="preserve">NTT-41</t>
  </si>
  <si>
    <t xml:space="preserve">Add-note route</t>
  </si>
  <si>
    <t xml:space="preserve">NTT-42</t>
  </si>
  <si>
    <t xml:space="preserve">Treble-clef range validation (A3-C6)</t>
  </si>
  <si>
    <t xml:space="preserve">NTT-43</t>
  </si>
  <si>
    <t xml:space="preserve">Composition to music21 Stream service</t>
  </si>
  <si>
    <t xml:space="preserve">NTT-44</t>
  </si>
  <si>
    <t xml:space="preserve">Add-note tests</t>
  </si>
  <si>
    <t xml:space="preserve">NTT-45</t>
  </si>
  <si>
    <t xml:space="preserve">SP-01</t>
  </si>
  <si>
    <t xml:space="preserve">Try music21 renderers</t>
  </si>
  <si>
    <t xml:space="preserve">NTT-46</t>
  </si>
  <si>
    <t xml:space="preserve">Hand-drawn SVG staff prototype</t>
  </si>
  <si>
    <t xml:space="preserve">NTT-47</t>
  </si>
  <si>
    <t xml:space="preserve">Write up the decision</t>
  </si>
  <si>
    <t xml:space="preserve">Total hours</t>
  </si>
  <si>
    <t xml:space="preserve">Left</t>
  </si>
  <si>
    <t xml:space="preserve">% done</t>
  </si>
  <si>
    <t xml:space="preserve">Source: Jira NTT board, Sprint 1, as of Oct 14, 2026. Hours are the story point estimates.</t>
  </si>
  <si>
    <t xml:space="preserve">Action</t>
  </si>
  <si>
    <t xml:space="preserve">Due</t>
  </si>
  <si>
    <t xml:space="preserve">Done?</t>
  </si>
  <si>
    <t xml:space="preserve">Example: Share Flask-Login ETA in the team chat</t>
  </si>
  <si>
    <t xml:space="preserve">Oct 15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</si>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</sst>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4D6"/>
        <bgColor rgb="FFFFFFFF"/>
      </patternFill>
    </fill>
    <fill>
      <patternFill patternType="solid">
        <fgColor rgb="FFE2EFDA"/>
        <bgColor rgb="FFFFF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70"/>
    <col collapsed="false" customWidth="true" hidden="false" outlineLevel="0" max="5" min="5" style="0" width="40"/>
  </cols>
  <sheetData>
    <row r="1" customFormat="false" ht="327.6" hidden="false" customHeight="false" outlineLevel="0" collapsed="false">
      <c r="A1" s="1" t="s">
        <v>0</v>
      </c>
    </row>
    <row r="2" customFormat="false" ht="126.8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6.25" hidden="false" customHeight="false" outlineLevel="0" collapsed="false">
      <c r="A5" s="4" t="n">
        <v>1</v>
      </c>
      <c r="B5" s="4" t="s">
        <v>7</v>
      </c>
      <c r="C5" s="4" t="n">
        <v>1</v>
      </c>
      <c r="D5" s="4" t="s">
        <v>8</v>
      </c>
      <c r="E5" s="5"/>
    </row>
    <row r="6" customFormat="false" ht="23.85" hidden="false" customHeight="false" outlineLevel="0" collapsed="false">
      <c r="A6" s="4" t="n">
        <v>2</v>
      </c>
      <c r="B6" s="4" t="s">
        <v>9</v>
      </c>
      <c r="C6" s="4" t="n">
        <v>8</v>
      </c>
      <c r="D6" s="4" t="s">
        <v>10</v>
      </c>
      <c r="E6" s="5"/>
    </row>
    <row r="7" customFormat="false" ht="46.25" hidden="false" customHeight="false" outlineLevel="0" collapsed="false">
      <c r="A7" s="4" t="n">
        <v>3</v>
      </c>
      <c r="B7" s="4" t="s">
        <v>11</v>
      </c>
      <c r="C7" s="4" t="n">
        <v>3</v>
      </c>
      <c r="D7" s="4" t="s">
        <v>12</v>
      </c>
      <c r="E7" s="5"/>
    </row>
    <row r="8" customFormat="false" ht="46.25" hidden="false" customHeight="false" outlineLevel="0" collapsed="false">
      <c r="A8" s="4" t="n">
        <v>4</v>
      </c>
      <c r="B8" s="4" t="s">
        <v>13</v>
      </c>
      <c r="C8" s="4" t="n">
        <v>2</v>
      </c>
      <c r="D8" s="4" t="s">
        <v>14</v>
      </c>
      <c r="E8" s="5"/>
    </row>
    <row r="9" customFormat="false" ht="57.45" hidden="false" customHeight="false" outlineLevel="0" collapsed="false">
      <c r="A9" s="4" t="n">
        <v>5</v>
      </c>
      <c r="B9" s="4" t="s">
        <v>15</v>
      </c>
      <c r="C9" s="4" t="n">
        <v>3</v>
      </c>
      <c r="D9" s="4" t="s">
        <v>16</v>
      </c>
      <c r="E9" s="5"/>
    </row>
    <row r="10" customFormat="false" ht="46.25" hidden="false" customHeight="false" outlineLevel="0" collapsed="false">
      <c r="A10" s="4" t="n">
        <v>6</v>
      </c>
      <c r="B10" s="4" t="s">
        <v>17</v>
      </c>
      <c r="C10" s="4" t="n">
        <v>1</v>
      </c>
      <c r="D10" s="4" t="s">
        <v>18</v>
      </c>
      <c r="E10" s="5"/>
    </row>
    <row r="11" customFormat="false" ht="15" hidden="false" customHeight="false" outlineLevel="0" collapsed="false">
      <c r="A11" s="4"/>
      <c r="B11" s="6" t="s">
        <v>19</v>
      </c>
      <c r="C11" s="6" t="n">
        <f aca="false">SUM(C5:C10)</f>
        <v>18</v>
      </c>
      <c r="D11" s="4"/>
      <c r="E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55"/>
    <col collapsed="false" customWidth="true" hidden="false" outlineLevel="0" max="4" min="4" style="0" width="32"/>
    <col collapsed="false" customWidth="true" hidden="false" outlineLevel="0" max="7" min="5" style="0" width="28"/>
  </cols>
  <sheetData>
    <row r="1" customFormat="false" ht="1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11</v>
      </c>
    </row>
    <row r="2" customFormat="false" ht="23.85" hidden="false" customHeight="false" outlineLevel="0" collapsed="false">
      <c r="A2" s="4" t="s">
        <v>26</v>
      </c>
      <c r="B2" s="4" t="n">
        <f aca="false">SUMIFS(Tasks!E:E,Tasks!D:D,A2,Tasks!F:F,"&lt;&gt;Done")</f>
        <v>14</v>
      </c>
      <c r="C2" s="4" t="s">
        <v>27</v>
      </c>
      <c r="D2" s="4" t="s">
        <v>28</v>
      </c>
      <c r="E2" s="5"/>
      <c r="F2" s="5"/>
      <c r="G2" s="5"/>
    </row>
    <row r="3" customFormat="false" ht="15" hidden="false" customHeight="false" outlineLevel="0" collapsed="false">
      <c r="A3" s="4" t="s">
        <v>29</v>
      </c>
      <c r="B3" s="4" t="n">
        <f aca="false">SUMIFS(Tasks!E:E,Tasks!D:D,A3,Tasks!F:F,"&lt;&gt;Done")</f>
        <v>11</v>
      </c>
      <c r="C3" s="4" t="s">
        <v>30</v>
      </c>
      <c r="D3" s="4"/>
      <c r="E3" s="5"/>
      <c r="F3" s="5"/>
      <c r="G3" s="5"/>
    </row>
    <row r="4" customFormat="false" ht="23.85" hidden="false" customHeight="false" outlineLevel="0" collapsed="false">
      <c r="A4" s="4" t="s">
        <v>31</v>
      </c>
      <c r="B4" s="4" t="n">
        <f aca="false">SUMIFS(Tasks!E:E,Tasks!D:D,A4,Tasks!F:F,"&lt;&gt;Done")</f>
        <v>10</v>
      </c>
      <c r="C4" s="4" t="s">
        <v>32</v>
      </c>
      <c r="D4" s="4" t="s">
        <v>33</v>
      </c>
      <c r="E4" s="5"/>
      <c r="F4" s="5"/>
      <c r="G4" s="5"/>
    </row>
    <row r="5" customFormat="false" ht="23.85" hidden="false" customHeight="false" outlineLevel="0" collapsed="false">
      <c r="A5" s="4" t="s">
        <v>34</v>
      </c>
      <c r="B5" s="4" t="n">
        <f aca="false">SUMIFS(Tasks!E:E,Tasks!D:D,A5,Tasks!F:F,"&lt;&gt;Done")</f>
        <v>6</v>
      </c>
      <c r="C5" s="4" t="s">
        <v>35</v>
      </c>
      <c r="D5" s="4" t="s">
        <v>36</v>
      </c>
      <c r="E5" s="5"/>
      <c r="F5" s="5"/>
      <c r="G5" s="5"/>
    </row>
    <row r="6" customFormat="false" ht="15" hidden="false" customHeight="false" outlineLevel="0" collapsed="false">
      <c r="A6" s="4" t="s">
        <v>37</v>
      </c>
      <c r="B6" s="4" t="n">
        <f aca="false">SUMIFS(Tasks!E:E,Tasks!D:D,A6,Tasks!F:F,"&lt;&gt;Done")</f>
        <v>4</v>
      </c>
      <c r="C6" s="4" t="s">
        <v>38</v>
      </c>
      <c r="D6" s="4" t="s">
        <v>39</v>
      </c>
      <c r="E6" s="5"/>
      <c r="F6" s="5"/>
      <c r="G6" s="5"/>
    </row>
    <row r="7" customFormat="false" ht="15" hidden="false" customHeight="false" outlineLevel="0" collapsed="false">
      <c r="A7" s="8" t="s">
        <v>19</v>
      </c>
      <c r="B7" s="8" t="n">
        <f aca="false">SUM(B2:B6)</f>
        <v>45</v>
      </c>
      <c r="C7" s="7"/>
      <c r="D7" s="7"/>
      <c r="E7" s="7"/>
      <c r="F7" s="7"/>
      <c r="G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</row>
    <row r="2" customFormat="false" ht="15" hidden="false" customHeight="false" outlineLevel="0" collapsed="false">
      <c r="A2" s="9" t="s">
        <v>46</v>
      </c>
      <c r="B2" s="9" t="s">
        <v>47</v>
      </c>
      <c r="C2" s="9" t="s">
        <v>48</v>
      </c>
      <c r="D2" s="9" t="s">
        <v>31</v>
      </c>
      <c r="E2" s="9" t="n">
        <v>2</v>
      </c>
      <c r="F2" s="9" t="s">
        <v>49</v>
      </c>
    </row>
    <row r="3" customFormat="false" ht="15" hidden="false" customHeight="false" outlineLevel="0" collapsed="false">
      <c r="A3" s="9" t="s">
        <v>50</v>
      </c>
      <c r="B3" s="9" t="s">
        <v>47</v>
      </c>
      <c r="C3" s="9" t="s">
        <v>51</v>
      </c>
      <c r="D3" s="9" t="s">
        <v>29</v>
      </c>
      <c r="E3" s="9" t="n">
        <v>3</v>
      </c>
      <c r="F3" s="9" t="s">
        <v>49</v>
      </c>
    </row>
    <row r="4" customFormat="false" ht="15" hidden="false" customHeight="false" outlineLevel="0" collapsed="false">
      <c r="A4" s="9" t="s">
        <v>52</v>
      </c>
      <c r="B4" s="9" t="s">
        <v>47</v>
      </c>
      <c r="C4" s="9" t="s">
        <v>53</v>
      </c>
      <c r="D4" s="9" t="s">
        <v>34</v>
      </c>
      <c r="E4" s="9" t="n">
        <v>5</v>
      </c>
      <c r="F4" s="9" t="s">
        <v>49</v>
      </c>
    </row>
    <row r="5" customFormat="false" ht="15" hidden="false" customHeight="false" outlineLevel="0" collapsed="false">
      <c r="A5" s="9" t="s">
        <v>54</v>
      </c>
      <c r="B5" s="9" t="s">
        <v>47</v>
      </c>
      <c r="C5" s="9" t="s">
        <v>55</v>
      </c>
      <c r="D5" s="9" t="s">
        <v>34</v>
      </c>
      <c r="E5" s="9" t="n">
        <v>2</v>
      </c>
      <c r="F5" s="9" t="s">
        <v>49</v>
      </c>
    </row>
    <row r="6" customFormat="false" ht="15" hidden="false" customHeight="false" outlineLevel="0" collapsed="false">
      <c r="A6" s="9" t="s">
        <v>56</v>
      </c>
      <c r="B6" s="9" t="s">
        <v>47</v>
      </c>
      <c r="C6" s="9" t="s">
        <v>57</v>
      </c>
      <c r="D6" s="9" t="s">
        <v>31</v>
      </c>
      <c r="E6" s="9" t="n">
        <v>3</v>
      </c>
      <c r="F6" s="9" t="s">
        <v>49</v>
      </c>
    </row>
    <row r="7" customFormat="false" ht="15" hidden="false" customHeight="false" outlineLevel="0" collapsed="false">
      <c r="A7" s="4" t="s">
        <v>58</v>
      </c>
      <c r="B7" s="4" t="s">
        <v>59</v>
      </c>
      <c r="C7" s="4" t="s">
        <v>60</v>
      </c>
      <c r="D7" s="4" t="s">
        <v>26</v>
      </c>
      <c r="E7" s="4" t="n">
        <v>2</v>
      </c>
      <c r="F7" s="4" t="s">
        <v>61</v>
      </c>
    </row>
    <row r="8" customFormat="false" ht="15" hidden="false" customHeight="false" outlineLevel="0" collapsed="false">
      <c r="A8" s="4" t="s">
        <v>62</v>
      </c>
      <c r="B8" s="4" t="s">
        <v>59</v>
      </c>
      <c r="C8" s="4" t="s">
        <v>63</v>
      </c>
      <c r="D8" s="4" t="s">
        <v>26</v>
      </c>
      <c r="E8" s="4" t="n">
        <v>2</v>
      </c>
      <c r="F8" s="4" t="s">
        <v>64</v>
      </c>
    </row>
    <row r="9" customFormat="false" ht="15" hidden="false" customHeight="false" outlineLevel="0" collapsed="false">
      <c r="A9" s="4" t="s">
        <v>65</v>
      </c>
      <c r="B9" s="4" t="s">
        <v>59</v>
      </c>
      <c r="C9" s="4" t="s">
        <v>66</v>
      </c>
      <c r="D9" s="4" t="s">
        <v>26</v>
      </c>
      <c r="E9" s="4" t="n">
        <v>1</v>
      </c>
      <c r="F9" s="4" t="s">
        <v>64</v>
      </c>
    </row>
    <row r="10" customFormat="false" ht="15" hidden="false" customHeight="false" outlineLevel="0" collapsed="false">
      <c r="A10" s="9" t="s">
        <v>67</v>
      </c>
      <c r="B10" s="9" t="s">
        <v>59</v>
      </c>
      <c r="C10" s="9" t="s">
        <v>68</v>
      </c>
      <c r="D10" s="9" t="s">
        <v>37</v>
      </c>
      <c r="E10" s="9" t="n">
        <v>3</v>
      </c>
      <c r="F10" s="9" t="s">
        <v>49</v>
      </c>
    </row>
    <row r="11" customFormat="false" ht="15" hidden="false" customHeight="false" outlineLevel="0" collapsed="false">
      <c r="A11" s="4" t="s">
        <v>69</v>
      </c>
      <c r="B11" s="4" t="s">
        <v>70</v>
      </c>
      <c r="C11" s="4" t="s">
        <v>71</v>
      </c>
      <c r="D11" s="4" t="s">
        <v>29</v>
      </c>
      <c r="E11" s="4" t="n">
        <v>2</v>
      </c>
      <c r="F11" s="4" t="s">
        <v>72</v>
      </c>
    </row>
    <row r="12" customFormat="false" ht="15" hidden="false" customHeight="false" outlineLevel="0" collapsed="false">
      <c r="A12" s="4" t="s">
        <v>73</v>
      </c>
      <c r="B12" s="4" t="s">
        <v>70</v>
      </c>
      <c r="C12" s="4" t="s">
        <v>74</v>
      </c>
      <c r="D12" s="4" t="s">
        <v>29</v>
      </c>
      <c r="E12" s="4" t="n">
        <v>2</v>
      </c>
      <c r="F12" s="4" t="s">
        <v>72</v>
      </c>
    </row>
    <row r="13" customFormat="false" ht="15" hidden="false" customHeight="false" outlineLevel="0" collapsed="false">
      <c r="A13" s="4" t="s">
        <v>75</v>
      </c>
      <c r="B13" s="4" t="s">
        <v>70</v>
      </c>
      <c r="C13" s="4" t="s">
        <v>76</v>
      </c>
      <c r="D13" s="4" t="s">
        <v>29</v>
      </c>
      <c r="E13" s="4" t="n">
        <v>1</v>
      </c>
      <c r="F13" s="4" t="s">
        <v>72</v>
      </c>
    </row>
    <row r="14" customFormat="false" ht="15" hidden="false" customHeight="false" outlineLevel="0" collapsed="false">
      <c r="A14" s="4" t="s">
        <v>77</v>
      </c>
      <c r="B14" s="4" t="s">
        <v>70</v>
      </c>
      <c r="C14" s="4" t="s">
        <v>78</v>
      </c>
      <c r="D14" s="4" t="s">
        <v>29</v>
      </c>
      <c r="E14" s="4" t="n">
        <v>1</v>
      </c>
      <c r="F14" s="4" t="s">
        <v>72</v>
      </c>
    </row>
    <row r="15" customFormat="false" ht="15" hidden="false" customHeight="false" outlineLevel="0" collapsed="false">
      <c r="A15" s="4" t="s">
        <v>79</v>
      </c>
      <c r="B15" s="4" t="s">
        <v>70</v>
      </c>
      <c r="C15" s="4" t="s">
        <v>80</v>
      </c>
      <c r="D15" s="4" t="s">
        <v>26</v>
      </c>
      <c r="E15" s="4" t="n">
        <v>3</v>
      </c>
      <c r="F15" s="4" t="s">
        <v>72</v>
      </c>
    </row>
    <row r="16" customFormat="false" ht="15" hidden="false" customHeight="false" outlineLevel="0" collapsed="false">
      <c r="A16" s="4" t="s">
        <v>81</v>
      </c>
      <c r="B16" s="4" t="s">
        <v>70</v>
      </c>
      <c r="C16" s="4" t="s">
        <v>82</v>
      </c>
      <c r="D16" s="4" t="s">
        <v>34</v>
      </c>
      <c r="E16" s="4" t="n">
        <v>1</v>
      </c>
      <c r="F16" s="4" t="s">
        <v>72</v>
      </c>
    </row>
    <row r="17" customFormat="false" ht="15" hidden="false" customHeight="false" outlineLevel="0" collapsed="false">
      <c r="A17" s="4" t="s">
        <v>83</v>
      </c>
      <c r="B17" s="4" t="s">
        <v>84</v>
      </c>
      <c r="C17" s="4" t="s">
        <v>85</v>
      </c>
      <c r="D17" s="4" t="s">
        <v>29</v>
      </c>
      <c r="E17" s="4" t="n">
        <v>3</v>
      </c>
      <c r="F17" s="4" t="s">
        <v>72</v>
      </c>
    </row>
    <row r="18" customFormat="false" ht="15" hidden="false" customHeight="false" outlineLevel="0" collapsed="false">
      <c r="A18" s="4" t="s">
        <v>86</v>
      </c>
      <c r="B18" s="4" t="s">
        <v>84</v>
      </c>
      <c r="C18" s="4" t="s">
        <v>87</v>
      </c>
      <c r="D18" s="4" t="s">
        <v>29</v>
      </c>
      <c r="E18" s="4" t="n">
        <v>2</v>
      </c>
      <c r="F18" s="4" t="s">
        <v>72</v>
      </c>
    </row>
    <row r="19" customFormat="false" ht="15" hidden="false" customHeight="false" outlineLevel="0" collapsed="false">
      <c r="A19" s="4" t="s">
        <v>88</v>
      </c>
      <c r="B19" s="4" t="s">
        <v>84</v>
      </c>
      <c r="C19" s="4" t="s">
        <v>89</v>
      </c>
      <c r="D19" s="4" t="s">
        <v>31</v>
      </c>
      <c r="E19" s="4" t="n">
        <v>3</v>
      </c>
      <c r="F19" s="4" t="s">
        <v>72</v>
      </c>
    </row>
    <row r="20" customFormat="false" ht="15" hidden="false" customHeight="false" outlineLevel="0" collapsed="false">
      <c r="A20" s="4" t="s">
        <v>90</v>
      </c>
      <c r="B20" s="4" t="s">
        <v>84</v>
      </c>
      <c r="C20" s="4" t="s">
        <v>91</v>
      </c>
      <c r="D20" s="4" t="s">
        <v>37</v>
      </c>
      <c r="E20" s="4" t="n">
        <v>2</v>
      </c>
      <c r="F20" s="4" t="s">
        <v>72</v>
      </c>
    </row>
    <row r="21" customFormat="false" ht="15" hidden="false" customHeight="false" outlineLevel="0" collapsed="false">
      <c r="A21" s="4" t="s">
        <v>92</v>
      </c>
      <c r="B21" s="4" t="s">
        <v>93</v>
      </c>
      <c r="C21" s="4" t="s">
        <v>94</v>
      </c>
      <c r="D21" s="4" t="s">
        <v>34</v>
      </c>
      <c r="E21" s="4" t="n">
        <v>3</v>
      </c>
      <c r="F21" s="4" t="s">
        <v>72</v>
      </c>
    </row>
    <row r="22" customFormat="false" ht="15" hidden="false" customHeight="false" outlineLevel="0" collapsed="false">
      <c r="A22" s="4" t="s">
        <v>95</v>
      </c>
      <c r="B22" s="4" t="s">
        <v>93</v>
      </c>
      <c r="C22" s="4" t="s">
        <v>96</v>
      </c>
      <c r="D22" s="4" t="s">
        <v>31</v>
      </c>
      <c r="E22" s="4" t="n">
        <v>5</v>
      </c>
      <c r="F22" s="4" t="s">
        <v>72</v>
      </c>
    </row>
    <row r="23" customFormat="false" ht="15" hidden="false" customHeight="false" outlineLevel="0" collapsed="false">
      <c r="A23" s="4" t="s">
        <v>97</v>
      </c>
      <c r="B23" s="4" t="s">
        <v>93</v>
      </c>
      <c r="C23" s="4" t="s">
        <v>98</v>
      </c>
      <c r="D23" s="4" t="s">
        <v>34</v>
      </c>
      <c r="E23" s="4" t="n">
        <v>2</v>
      </c>
      <c r="F23" s="4" t="s">
        <v>72</v>
      </c>
    </row>
    <row r="24" customFormat="false" ht="15" hidden="false" customHeight="false" outlineLevel="0" collapsed="false">
      <c r="A24" s="4" t="s">
        <v>99</v>
      </c>
      <c r="B24" s="4" t="s">
        <v>93</v>
      </c>
      <c r="C24" s="4" t="s">
        <v>100</v>
      </c>
      <c r="D24" s="4" t="s">
        <v>37</v>
      </c>
      <c r="E24" s="4" t="n">
        <v>2</v>
      </c>
      <c r="F24" s="4" t="s">
        <v>72</v>
      </c>
    </row>
    <row r="25" customFormat="false" ht="15" hidden="false" customHeight="false" outlineLevel="0" collapsed="false">
      <c r="A25" s="4" t="s">
        <v>101</v>
      </c>
      <c r="B25" s="4" t="s">
        <v>93</v>
      </c>
      <c r="C25" s="4" t="s">
        <v>102</v>
      </c>
      <c r="D25" s="4" t="s">
        <v>26</v>
      </c>
      <c r="E25" s="4" t="n">
        <v>3</v>
      </c>
      <c r="F25" s="4" t="s">
        <v>72</v>
      </c>
    </row>
    <row r="26" customFormat="false" ht="15" hidden="false" customHeight="false" outlineLevel="0" collapsed="false">
      <c r="A26" s="4" t="s">
        <v>103</v>
      </c>
      <c r="B26" s="4" t="s">
        <v>93</v>
      </c>
      <c r="C26" s="4" t="s">
        <v>104</v>
      </c>
      <c r="D26" s="4" t="s">
        <v>26</v>
      </c>
      <c r="E26" s="4" t="n">
        <v>3</v>
      </c>
      <c r="F26" s="4" t="s">
        <v>72</v>
      </c>
    </row>
    <row r="27" customFormat="false" ht="15" hidden="false" customHeight="false" outlineLevel="0" collapsed="false">
      <c r="A27" s="9" t="s">
        <v>105</v>
      </c>
      <c r="B27" s="9" t="s">
        <v>106</v>
      </c>
      <c r="C27" s="9" t="s">
        <v>107</v>
      </c>
      <c r="D27" s="9" t="s">
        <v>31</v>
      </c>
      <c r="E27" s="9" t="n">
        <v>2</v>
      </c>
      <c r="F27" s="9" t="s">
        <v>49</v>
      </c>
    </row>
    <row r="28" customFormat="false" ht="15" hidden="false" customHeight="false" outlineLevel="0" collapsed="false">
      <c r="A28" s="4" t="s">
        <v>108</v>
      </c>
      <c r="B28" s="4" t="s">
        <v>106</v>
      </c>
      <c r="C28" s="4" t="s">
        <v>109</v>
      </c>
      <c r="D28" s="4" t="s">
        <v>31</v>
      </c>
      <c r="E28" s="4" t="n">
        <v>1</v>
      </c>
      <c r="F28" s="4" t="s">
        <v>72</v>
      </c>
    </row>
    <row r="29" customFormat="false" ht="15" hidden="false" customHeight="false" outlineLevel="0" collapsed="false">
      <c r="A29" s="4" t="s">
        <v>110</v>
      </c>
      <c r="B29" s="4" t="s">
        <v>106</v>
      </c>
      <c r="C29" s="4" t="s">
        <v>111</v>
      </c>
      <c r="D29" s="4" t="s">
        <v>31</v>
      </c>
      <c r="E29" s="4" t="n">
        <v>1</v>
      </c>
      <c r="F29" s="4" t="s">
        <v>64</v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</row>
    <row r="31" customFormat="false" ht="26.85" hidden="false" customHeight="false" outlineLevel="0" collapsed="false">
      <c r="A31" s="7"/>
      <c r="B31" s="7"/>
      <c r="C31" s="7"/>
      <c r="D31" s="8" t="s">
        <v>112</v>
      </c>
      <c r="E31" s="8" t="n">
        <f aca="false">SUM(E2:E29)</f>
        <v>65</v>
      </c>
      <c r="F31" s="7"/>
    </row>
    <row r="32" customFormat="false" ht="15" hidden="false" customHeight="false" outlineLevel="0" collapsed="false">
      <c r="A32" s="7"/>
      <c r="B32" s="7"/>
      <c r="C32" s="7"/>
      <c r="D32" s="8" t="s">
        <v>49</v>
      </c>
      <c r="E32" s="8" t="n">
        <f aca="false">SUMIF(F2:F29,"Done",E2:E29)</f>
        <v>20</v>
      </c>
      <c r="F32" s="7"/>
    </row>
    <row r="33" customFormat="false" ht="15" hidden="false" customHeight="false" outlineLevel="0" collapsed="false">
      <c r="A33" s="7"/>
      <c r="B33" s="7"/>
      <c r="C33" s="7"/>
      <c r="D33" s="8" t="s">
        <v>113</v>
      </c>
      <c r="E33" s="8" t="n">
        <f aca="false">E31-E32</f>
        <v>45</v>
      </c>
      <c r="F33" s="7"/>
    </row>
    <row r="34" customFormat="false" ht="15" hidden="false" customHeight="false" outlineLevel="0" collapsed="false">
      <c r="A34" s="7"/>
      <c r="B34" s="7"/>
      <c r="C34" s="7"/>
      <c r="D34" s="8" t="s">
        <v>114</v>
      </c>
      <c r="E34" s="10" t="n">
        <f aca="false">E32/E31</f>
        <v>0.307692307692308</v>
      </c>
      <c r="F34" s="7"/>
    </row>
    <row r="36" customFormat="false" ht="15" hidden="false" customHeight="false" outlineLevel="0" collapsed="false">
      <c r="A36" s="11" t="s">
        <v>115</v>
      </c>
    </row>
  </sheetData>
  <dataValidations count="1">
    <dataValidation allowBlank="true" errorStyle="stop" operator="between" showDropDown="false" showErrorMessage="false" showInputMessage="false" sqref="F2:F29" type="list">
      <formula1>"To Do,In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</cols>
  <sheetData>
    <row r="1" customFormat="false" ht="15" hidden="false" customHeight="false" outlineLevel="0" collapsed="false">
      <c r="A1" s="3" t="s">
        <v>116</v>
      </c>
      <c r="B1" s="3" t="s">
        <v>43</v>
      </c>
      <c r="C1" s="3" t="s">
        <v>117</v>
      </c>
      <c r="D1" s="3" t="s">
        <v>118</v>
      </c>
    </row>
    <row r="2" customFormat="false" ht="15" hidden="false" customHeight="false" outlineLevel="0" collapsed="false">
      <c r="A2" s="12" t="s">
        <v>119</v>
      </c>
      <c r="B2" s="4" t="s">
        <v>29</v>
      </c>
      <c r="C2" s="4" t="s">
        <v>120</v>
      </c>
      <c r="D2" s="4" t="s">
        <v>121</v>
      </c>
    </row>
    <row r="3" customFormat="false" ht="15" hidden="false" customHeight="false" outlineLevel="0" collapsed="false">
      <c r="A3" s="5"/>
      <c r="B3" s="5"/>
      <c r="C3" s="5"/>
      <c r="D3" s="5"/>
    </row>
    <row r="4" customFormat="false" ht="15" hidden="false" customHeight="false" outlineLevel="0" collapsed="false">
      <c r="A4" s="5"/>
      <c r="B4" s="5"/>
      <c r="C4" s="5"/>
      <c r="D4" s="5"/>
    </row>
    <row r="5" customFormat="false" ht="15" hidden="false" customHeight="false" outlineLevel="0" collapsed="false">
      <c r="A5" s="5"/>
      <c r="B5" s="5"/>
      <c r="C5" s="5"/>
      <c r="D5" s="5"/>
    </row>
    <row r="6" customFormat="false" ht="15" hidden="false" customHeight="false" outlineLevel="0" collapsed="false">
      <c r="A6" s="5"/>
      <c r="B6" s="5"/>
      <c r="C6" s="5"/>
      <c r="D6" s="5"/>
    </row>
    <row r="7" customFormat="false" ht="15" hidden="false" customHeight="false" outlineLevel="0" collapsed="false">
      <c r="A7" s="5"/>
      <c r="B7" s="5"/>
      <c r="C7" s="5"/>
      <c r="D7" s="5"/>
    </row>
    <row r="8" customFormat="false" ht="15" hidden="false" customHeight="false" outlineLevel="0" collapsed="false">
      <c r="A8" s="5"/>
      <c r="B8" s="5"/>
      <c r="C8" s="5"/>
      <c r="D8" s="5"/>
    </row>
    <row r="9" customFormat="false" ht="15" hidden="false" customHeight="false" outlineLevel="0" collapsed="false">
      <c r="A9" s="5"/>
      <c r="B9" s="5"/>
      <c r="C9" s="5"/>
      <c r="D9" s="5"/>
    </row>
    <row r="10" customFormat="false" ht="15" hidden="false" customHeight="false" outlineLevel="0" collapsed="false">
      <c r="A10" s="5"/>
      <c r="B10" s="5"/>
      <c r="C10" s="5"/>
      <c r="D10" s="5"/>
    </row>
    <row r="11" customFormat="false" ht="15" hidden="false" customHeight="false" outlineLevel="0" collapsed="false">
      <c r="A11" s="5"/>
      <c r="B11" s="5"/>
      <c r="C11" s="5"/>
      <c r="D11" s="5"/>
    </row>
    <row r="12" customFormat="false" ht="15" hidden="false" customHeight="false" outlineLevel="0" collapsed="false">
      <c r="A12" s="5"/>
      <c r="B12" s="5"/>
      <c r="C12" s="5"/>
      <c r="D12" s="5"/>
    </row>
  </sheetData>
  <dataValidations count="1">
    <dataValidation allowBlank="true" errorStyle="stop" operator="between" showDropDown="false" showErrorMessage="false" showInputMessage="false" sqref="D2:D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2026-10-15T02:54:41Z</dcterms:created>
  <dc:creator>openpyxl</dc:creator>
  <dc:description/>
  <dc:language>en-US</dc:language>
  <cp:lastModifiedBy/>
  <dcterms:modified xsi:type="dcterms:W3CDTF">2026-10-15T02:54:41Z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